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Calendar" sheetId="2" state="visible" r:id="rId4"/>
    <sheet name="By Instructor" sheetId="3" state="visible" r:id="rId5"/>
  </sheets>
  <definedNames>
    <definedName function="false" hidden="true" localSheetId="0" name="_xlnm._FilterDatabase" vbProcedure="false">Schedule!$A$1:$I$62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<sst xmlns="http://schemas.openxmlformats.org/spreadsheetml/2006/main" count="340" uniqueCount="127">
  <si>
    <t xml:space="preserve">Date</t>
  </si>
  <si>
    <t xml:space="preserve">Day</t>
  </si>
  <si>
    <t xml:space="preserve">Start</t>
  </si>
  <si>
    <t xml:space="preserve">End</t>
  </si>
  <si>
    <t xml:space="preserve">Session</t>
  </si>
  <si>
    <t xml:space="preserve">Topic</t>
  </si>
  <si>
    <t xml:space="preserve">Instructor</t>
  </si>
  <si>
    <t xml:space="preserve">Where</t>
  </si>
  <si>
    <t xml:space="preserve">Note</t>
  </si>
  <si>
    <t xml:space="preserve">Weekend AM</t>
  </si>
  <si>
    <t xml:space="preserve">Opening Ceremony · Practice · Principles of Vinyasa &amp; Surya Namaskar</t>
  </si>
  <si>
    <t xml:space="preserve">Taq</t>
  </si>
  <si>
    <t xml:space="preserve">In studio</t>
  </si>
  <si>
    <t xml:space="preserve">Weekend PM</t>
  </si>
  <si>
    <t xml:space="preserve">Techniques: Surya A</t>
  </si>
  <si>
    <t xml:space="preserve">Orientation Pt 1</t>
  </si>
  <si>
    <t xml:space="preserve">Mitch</t>
  </si>
  <si>
    <t xml:space="preserve">Within PM block</t>
  </si>
  <si>
    <t xml:space="preserve">Practice · Techniques: Surya B</t>
  </si>
  <si>
    <t xml:space="preserve">Techniques: Surya A &amp; B</t>
  </si>
  <si>
    <t xml:space="preserve">Jeffrey</t>
  </si>
  <si>
    <t xml:space="preserve">Mon Check-In</t>
  </si>
  <si>
    <t xml:space="preserve">Orientation Pt 2</t>
  </si>
  <si>
    <t xml:space="preserve">Online</t>
  </si>
  <si>
    <t xml:space="preserve">Tue Meditation</t>
  </si>
  <si>
    <t xml:space="preserve">Meditation: 3-Part</t>
  </si>
  <si>
    <t xml:space="preserve">Lauren</t>
  </si>
  <si>
    <t xml:space="preserve">Thu Lecture</t>
  </si>
  <si>
    <t xml:space="preserve">History &amp; Ethics Part One</t>
  </si>
  <si>
    <t xml:space="preserve">Some Thursdays in studio — TBD in original</t>
  </si>
  <si>
    <t xml:space="preserve">Fri Asana Lab</t>
  </si>
  <si>
    <t xml:space="preserve">Asana Lab Master Class</t>
  </si>
  <si>
    <t xml:space="preserve">Practice · Techniques: Standing Poses</t>
  </si>
  <si>
    <t xml:space="preserve">Practicum: Surya A &amp; Surya B</t>
  </si>
  <si>
    <t xml:space="preserve">Practice · Techniques: Forward Folds</t>
  </si>
  <si>
    <t xml:space="preserve">Practicum: Standing Poses &amp; Forward Folds</t>
  </si>
  <si>
    <t xml:space="preserve">Meditation: B/L</t>
  </si>
  <si>
    <t xml:space="preserve">Yoga Sutra</t>
  </si>
  <si>
    <t xml:space="preserve">Practice · Techniques: Twists</t>
  </si>
  <si>
    <t xml:space="preserve">Techniques: Backbends</t>
  </si>
  <si>
    <t xml:space="preserve">Practice · Practicum: Twists</t>
  </si>
  <si>
    <t xml:space="preserve">Becca</t>
  </si>
  <si>
    <t xml:space="preserve">Techniques: Hip Opening · Practicum: Backbends</t>
  </si>
  <si>
    <t xml:space="preserve">Meditation: So Hum</t>
  </si>
  <si>
    <t xml:space="preserve">Pranayama Part One</t>
  </si>
  <si>
    <t xml:space="preserve">Meditation: Amma</t>
  </si>
  <si>
    <t xml:space="preserve">History &amp; Ethics Part Two</t>
  </si>
  <si>
    <t xml:space="preserve">Practice · Subtle Body</t>
  </si>
  <si>
    <t xml:space="preserve">Subtle Body</t>
  </si>
  <si>
    <t xml:space="preserve">Practice · Practicum: Hip Opening</t>
  </si>
  <si>
    <t xml:space="preserve">Techniques: Leg Balance</t>
  </si>
  <si>
    <t xml:space="preserve">Check-In</t>
  </si>
  <si>
    <t xml:space="preserve">Meditation: Sa Ta Na Ma</t>
  </si>
  <si>
    <t xml:space="preserve">Pranayama Part Two</t>
  </si>
  <si>
    <t xml:space="preserve">Meditation: Mindfulness</t>
  </si>
  <si>
    <t xml:space="preserve">Meditation: Gita · Japa</t>
  </si>
  <si>
    <t xml:space="preserve">Ayurveda</t>
  </si>
  <si>
    <t xml:space="preserve">Practice · Sequencing One: Warm-Up Category</t>
  </si>
  <si>
    <t xml:space="preserve">Anatomy Part One</t>
  </si>
  <si>
    <t xml:space="preserve">Practice · Techniques: Arm Balance</t>
  </si>
  <si>
    <t xml:space="preserve">Techniques: Inversion</t>
  </si>
  <si>
    <t xml:space="preserve">Meditation: Gita · Chakra</t>
  </si>
  <si>
    <t xml:space="preserve">Intro to Yin</t>
  </si>
  <si>
    <t xml:space="preserve">Practice · Practicum: Leg Balance &amp; Arm Balance</t>
  </si>
  <si>
    <t xml:space="preserve">Anatomy Part Two</t>
  </si>
  <si>
    <t xml:space="preserve">Practice · Sequencing Two: Peak</t>
  </si>
  <si>
    <t xml:space="preserve">Practicum: Inversions &amp; Final Prep</t>
  </si>
  <si>
    <t xml:space="preserve">Anatomy Review</t>
  </si>
  <si>
    <t xml:space="preserve">Certification</t>
  </si>
  <si>
    <t xml:space="preserve">Original listed 1/4/2026 — assumed 2027</t>
  </si>
  <si>
    <t xml:space="preserve">Meditation: Gita · Empty Bowl</t>
  </si>
  <si>
    <t xml:space="preserve">Business of Yoga</t>
  </si>
  <si>
    <t xml:space="preserve">Original listed 01/09/2026 — assumed Fri 1/8/2027</t>
  </si>
  <si>
    <t xml:space="preserve">Presentations</t>
  </si>
  <si>
    <t xml:space="preserve">Mitch &amp; Taq</t>
  </si>
  <si>
    <t xml:space="preserve">Yoga East Exam · DEI</t>
  </si>
  <si>
    <t xml:space="preserve">Taq &amp; Mitch</t>
  </si>
  <si>
    <t xml:space="preserve">Graduation Ceremony</t>
  </si>
  <si>
    <t xml:space="preserve">Week of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</si>
  <si>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</si>
  <si>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</si>
  <si>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</si>
  <si>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</si>
  <si>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</si>
  <si>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</si>
  <si>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</si>
  <si>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9 Opening Ceremony · Practice · Principles of Vinyasa &amp; Surya Namaskar (Taq)
2 Techniques: Surya A (Taq)
5:15 Orientation Pt 1 (Mitch)</t>
  </si>
  <si>
    <t xml:space="preserve">9 Practice · Techniques: Surya B (Mitch)
2 Techniques: Surya A &amp; B (Jeffrey)</t>
  </si>
  <si>
    <t xml:space="preserve">7 Orientation Pt 2 (Taq)</t>
  </si>
  <si>
    <t xml:space="preserve">7 3-Part (Lauren)</t>
  </si>
  <si>
    <t xml:space="preserve">7:30 History &amp; Ethics Part One (Jeffrey)</t>
  </si>
  <si>
    <t xml:space="preserve">6 Asana Lab Master Class (Mitch)</t>
  </si>
  <si>
    <t xml:space="preserve">9 Practice · Techniques: Standing Poses (Taq)
2 Practicum: Surya A &amp; Surya B (Mitch)</t>
  </si>
  <si>
    <t xml:space="preserve">9 Practice · Techniques: Forward Folds (Mitch)
2 Practicum: Standing Poses &amp; Forward Folds (Jeffrey)</t>
  </si>
  <si>
    <t xml:space="preserve">7 B/L (Lauren)</t>
  </si>
  <si>
    <t xml:space="preserve">7:30 Yoga Sutra (Lauren)</t>
  </si>
  <si>
    <t xml:space="preserve">6 Asana Lab Master Class (Jeffrey)</t>
  </si>
  <si>
    <t xml:space="preserve">9 Practice · Techniques: Twists (Taq)
2 Techniques: Backbends (Mitch)</t>
  </si>
  <si>
    <t xml:space="preserve">9 Practice · Practicum: Twists (Becca)
2 Techniques: Hip Opening · Practicum: Backbends (Mitch)</t>
  </si>
  <si>
    <t xml:space="preserve">7 So Hum (Lauren)</t>
  </si>
  <si>
    <t xml:space="preserve">7:30 Pranayama Part One (Jeffrey)</t>
  </si>
  <si>
    <t xml:space="preserve">7 Amma (Lauren)</t>
  </si>
  <si>
    <t xml:space="preserve">7:30 History &amp; Ethics Part Two (Jeffrey)</t>
  </si>
  <si>
    <t xml:space="preserve">6 Asana Lab Master Class (Becca)</t>
  </si>
  <si>
    <t xml:space="preserve">9 Practice · Subtle Body (Lauren)
2 Subtle Body (Lauren)</t>
  </si>
  <si>
    <t xml:space="preserve">9 Practice · Practicum: Hip Opening (Becca)
2 Techniques: Leg Balance (Taq)</t>
  </si>
  <si>
    <t xml:space="preserve">7 Check-In (Taq)</t>
  </si>
  <si>
    <t xml:space="preserve">7 Sa Ta Na Ma (Lauren)</t>
  </si>
  <si>
    <t xml:space="preserve">7:30 Pranayama Part Two (Jeffrey)</t>
  </si>
  <si>
    <t xml:space="preserve">7 Mindfulness (Lauren)</t>
  </si>
  <si>
    <t xml:space="preserve">7 Gita · Japa (Lauren)</t>
  </si>
  <si>
    <t xml:space="preserve">7:30 Ayurveda (Lauren)</t>
  </si>
  <si>
    <t xml:space="preserve">9 Practice · Sequencing One: Warm-Up Category (Jeffrey)
2 Anatomy Part One (Taq)</t>
  </si>
  <si>
    <t xml:space="preserve">9 Practice · Techniques: Arm Balance (Mitch)
2 Techniques: Inversion (Becca)</t>
  </si>
  <si>
    <t xml:space="preserve">7 Gita · Chakra (Lauren)</t>
  </si>
  <si>
    <t xml:space="preserve">7:30 Intro to Yin (Mitch)</t>
  </si>
  <si>
    <t xml:space="preserve">9 Practice · Practicum: Leg Balance &amp; Arm Balance (Taq)
2 Anatomy Part Two (Taq)</t>
  </si>
  <si>
    <t xml:space="preserve">9 Practice · Sequencing Two: Peak (Jeffrey)
2 Practicum: Inversions &amp; Final Prep (Mitch)</t>
  </si>
  <si>
    <t xml:space="preserve">7:30 Anatomy Review (Taq)</t>
  </si>
  <si>
    <t xml:space="preserve">7 Certification (Taq)</t>
  </si>
  <si>
    <t xml:space="preserve">7 Gita · Empty Bowl (Lauren)</t>
  </si>
  <si>
    <t xml:space="preserve">7:30 Business of Yoga (Mitch)</t>
  </si>
  <si>
    <t xml:space="preserve">9 Presentations (Mitch &amp; Taq)
2 Yoga East Exam · DEI (Taq)</t>
  </si>
  <si>
    <t xml:space="preserve">9 Presentations (Taq &amp; Mitch)
2 Graduation Ceremony (Taq)</t>
  </si>
  <si>
    <t xml:space="preserve">Key</t>
  </si>
  <si>
    <t xml:space="preserve">Total</t>
  </si>
  <si>
    <t xml:space="preserve">Co-taught sessions (e.g. Mitch &amp; Taq) count for each instructor.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</si>
</sst>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h:mm\ AM/PM"/>
    <numFmt numFmtId="167" formatCode="m/d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FCE4D6"/>
        <bgColor rgb="FFFBE2E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EADCF0"/>
        <bgColor rgb="FFFBE2E2"/>
      </patternFill>
    </fill>
    <fill>
      <patternFill patternType="solid">
        <fgColor rgb="FFFBE2E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4F4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CF0"/>
          <bgColor rgb="FF000000"/>
        </patternFill>
      </fill>
    </dxf>
    <dxf>
      <fill>
        <patternFill patternType="solid">
          <fgColor rgb="FFFBE2E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CF0"/>
      <rgbColor rgb="FFE2EFDA"/>
      <rgbColor rgb="FFFBE2E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6" min="6" style="0" width="4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n">
        <v>46312</v>
      </c>
      <c r="B2" s="3" t="str">
        <f aca="false">TEXT(A2,"ddd")</f>
        <v>Sat</v>
      </c>
      <c r="C2" s="4" t="n">
        <v>0.375</v>
      </c>
      <c r="D2" s="4" t="n">
        <v>0.541666666666667</v>
      </c>
      <c r="E2" s="3" t="s">
        <v>9</v>
      </c>
      <c r="F2" s="5" t="s">
        <v>10</v>
      </c>
      <c r="G2" s="3" t="s">
        <v>11</v>
      </c>
      <c r="H2" s="3" t="s">
        <v>12</v>
      </c>
      <c r="I2" s="5"/>
    </row>
    <row r="3" customFormat="false" ht="15" hidden="false" customHeight="false" outlineLevel="0" collapsed="false">
      <c r="A3" s="6" t="n">
        <v>46312</v>
      </c>
      <c r="B3" s="7" t="str">
        <f aca="false">TEXT(A3,"ddd")</f>
        <v>Sat</v>
      </c>
      <c r="C3" s="8" t="n">
        <v>0.583333333333333</v>
      </c>
      <c r="D3" s="8" t="n">
        <v>0.75</v>
      </c>
      <c r="E3" s="7" t="s">
        <v>13</v>
      </c>
      <c r="F3" s="9" t="s">
        <v>14</v>
      </c>
      <c r="G3" s="7" t="s">
        <v>11</v>
      </c>
      <c r="H3" s="7" t="s">
        <v>12</v>
      </c>
      <c r="I3" s="9"/>
    </row>
    <row r="4" customFormat="false" ht="15" hidden="false" customHeight="false" outlineLevel="0" collapsed="false">
      <c r="A4" s="6" t="n">
        <v>46312</v>
      </c>
      <c r="B4" s="7" t="str">
        <f aca="false">TEXT(A4,"ddd")</f>
        <v>Sat</v>
      </c>
      <c r="C4" s="8" t="n">
        <v>0.71875</v>
      </c>
      <c r="D4" s="8"/>
      <c r="E4" s="7" t="s">
        <v>13</v>
      </c>
      <c r="F4" s="9" t="s">
        <v>15</v>
      </c>
      <c r="G4" s="7" t="s">
        <v>16</v>
      </c>
      <c r="H4" s="7" t="s">
        <v>12</v>
      </c>
      <c r="I4" s="9" t="s">
        <v>17</v>
      </c>
    </row>
    <row r="5" customFormat="false" ht="15" hidden="false" customHeight="false" outlineLevel="0" collapsed="false">
      <c r="A5" s="2" t="n">
        <v>46313</v>
      </c>
      <c r="B5" s="3" t="str">
        <f aca="false">TEXT(A5,"ddd")</f>
        <v>Sun</v>
      </c>
      <c r="C5" s="4" t="n">
        <v>0.375</v>
      </c>
      <c r="D5" s="4" t="n">
        <v>0.541666666666667</v>
      </c>
      <c r="E5" s="3" t="s">
        <v>9</v>
      </c>
      <c r="F5" s="5" t="s">
        <v>18</v>
      </c>
      <c r="G5" s="3" t="s">
        <v>16</v>
      </c>
      <c r="H5" s="3" t="s">
        <v>12</v>
      </c>
      <c r="I5" s="5"/>
    </row>
    <row r="6" customFormat="false" ht="15" hidden="false" customHeight="false" outlineLevel="0" collapsed="false">
      <c r="A6" s="6" t="n">
        <v>46313</v>
      </c>
      <c r="B6" s="7" t="str">
        <f aca="false">TEXT(A6,"ddd")</f>
        <v>Sun</v>
      </c>
      <c r="C6" s="8" t="n">
        <v>0.583333333333333</v>
      </c>
      <c r="D6" s="8" t="n">
        <v>0.75</v>
      </c>
      <c r="E6" s="7" t="s">
        <v>13</v>
      </c>
      <c r="F6" s="9" t="s">
        <v>19</v>
      </c>
      <c r="G6" s="7" t="s">
        <v>20</v>
      </c>
      <c r="H6" s="7" t="s">
        <v>12</v>
      </c>
      <c r="I6" s="9"/>
    </row>
    <row r="7" customFormat="false" ht="15" hidden="false" customHeight="false" outlineLevel="0" collapsed="false">
      <c r="A7" s="10" t="n">
        <v>46314</v>
      </c>
      <c r="B7" s="11" t="str">
        <f aca="false">TEXT(A7,"ddd")</f>
        <v>Mon</v>
      </c>
      <c r="C7" s="12" t="n">
        <v>0.791666666666667</v>
      </c>
      <c r="D7" s="12" t="n">
        <v>0.833333333333333</v>
      </c>
      <c r="E7" s="11" t="s">
        <v>21</v>
      </c>
      <c r="F7" s="13" t="s">
        <v>22</v>
      </c>
      <c r="G7" s="11" t="s">
        <v>11</v>
      </c>
      <c r="H7" s="11" t="s">
        <v>23</v>
      </c>
      <c r="I7" s="13"/>
    </row>
    <row r="8" customFormat="false" ht="15" hidden="false" customHeight="false" outlineLevel="0" collapsed="false">
      <c r="A8" s="14" t="n">
        <v>46315</v>
      </c>
      <c r="B8" s="15" t="str">
        <f aca="false">TEXT(A8,"ddd")</f>
        <v>Tue</v>
      </c>
      <c r="C8" s="16" t="n">
        <v>0.791666666666667</v>
      </c>
      <c r="D8" s="16" t="n">
        <v>0.833333333333333</v>
      </c>
      <c r="E8" s="15" t="s">
        <v>24</v>
      </c>
      <c r="F8" s="17" t="s">
        <v>25</v>
      </c>
      <c r="G8" s="15" t="s">
        <v>26</v>
      </c>
      <c r="H8" s="15" t="s">
        <v>23</v>
      </c>
      <c r="I8" s="17"/>
    </row>
    <row r="9" customFormat="false" ht="23.85" hidden="false" customHeight="false" outlineLevel="0" collapsed="false">
      <c r="A9" s="18" t="n">
        <v>46317</v>
      </c>
      <c r="B9" s="19" t="str">
        <f aca="false">TEXT(A9,"ddd")</f>
        <v>Thu</v>
      </c>
      <c r="C9" s="20" t="n">
        <v>0.8125</v>
      </c>
      <c r="D9" s="20" t="n">
        <v>0.895833333333333</v>
      </c>
      <c r="E9" s="19" t="s">
        <v>27</v>
      </c>
      <c r="F9" s="21" t="s">
        <v>28</v>
      </c>
      <c r="G9" s="19" t="s">
        <v>20</v>
      </c>
      <c r="H9" s="19" t="s">
        <v>23</v>
      </c>
      <c r="I9" s="21" t="s">
        <v>29</v>
      </c>
    </row>
    <row r="10" customFormat="false" ht="15" hidden="false" customHeight="false" outlineLevel="0" collapsed="false">
      <c r="A10" s="22" t="n">
        <v>46318</v>
      </c>
      <c r="B10" s="23" t="str">
        <f aca="false">TEXT(A10,"ddd")</f>
        <v>Fri</v>
      </c>
      <c r="C10" s="24" t="n">
        <v>0.75</v>
      </c>
      <c r="D10" s="24" t="n">
        <v>0.8125</v>
      </c>
      <c r="E10" s="23" t="s">
        <v>30</v>
      </c>
      <c r="F10" s="25" t="s">
        <v>31</v>
      </c>
      <c r="G10" s="23" t="s">
        <v>16</v>
      </c>
      <c r="H10" s="23" t="s">
        <v>12</v>
      </c>
      <c r="I10" s="25"/>
    </row>
    <row r="11" customFormat="false" ht="15" hidden="false" customHeight="false" outlineLevel="0" collapsed="false">
      <c r="A11" s="2" t="n">
        <v>46319</v>
      </c>
      <c r="B11" s="3" t="str">
        <f aca="false">TEXT(A11,"ddd")</f>
        <v>Sat</v>
      </c>
      <c r="C11" s="4" t="n">
        <v>0.375</v>
      </c>
      <c r="D11" s="4" t="n">
        <v>0.541666666666667</v>
      </c>
      <c r="E11" s="3" t="s">
        <v>9</v>
      </c>
      <c r="F11" s="5" t="s">
        <v>32</v>
      </c>
      <c r="G11" s="3" t="s">
        <v>11</v>
      </c>
      <c r="H11" s="3" t="s">
        <v>12</v>
      </c>
      <c r="I11" s="5"/>
    </row>
    <row r="12" customFormat="false" ht="15" hidden="false" customHeight="false" outlineLevel="0" collapsed="false">
      <c r="A12" s="6" t="n">
        <v>46319</v>
      </c>
      <c r="B12" s="7" t="str">
        <f aca="false">TEXT(A12,"ddd")</f>
        <v>Sat</v>
      </c>
      <c r="C12" s="8" t="n">
        <v>0.583333333333333</v>
      </c>
      <c r="D12" s="8" t="n">
        <v>0.75</v>
      </c>
      <c r="E12" s="7" t="s">
        <v>13</v>
      </c>
      <c r="F12" s="9" t="s">
        <v>33</v>
      </c>
      <c r="G12" s="7" t="s">
        <v>16</v>
      </c>
      <c r="H12" s="7" t="s">
        <v>12</v>
      </c>
      <c r="I12" s="9"/>
    </row>
    <row r="13" customFormat="false" ht="15" hidden="false" customHeight="false" outlineLevel="0" collapsed="false">
      <c r="A13" s="2" t="n">
        <v>46320</v>
      </c>
      <c r="B13" s="3" t="str">
        <f aca="false">TEXT(A13,"ddd")</f>
        <v>Sun</v>
      </c>
      <c r="C13" s="4" t="n">
        <v>0.375</v>
      </c>
      <c r="D13" s="4" t="n">
        <v>0.541666666666667</v>
      </c>
      <c r="E13" s="3" t="s">
        <v>9</v>
      </c>
      <c r="F13" s="5" t="s">
        <v>34</v>
      </c>
      <c r="G13" s="3" t="s">
        <v>16</v>
      </c>
      <c r="H13" s="3" t="s">
        <v>12</v>
      </c>
      <c r="I13" s="5"/>
    </row>
    <row r="14" customFormat="false" ht="15" hidden="false" customHeight="false" outlineLevel="0" collapsed="false">
      <c r="A14" s="6" t="n">
        <v>46320</v>
      </c>
      <c r="B14" s="7" t="str">
        <f aca="false">TEXT(A14,"ddd")</f>
        <v>Sun</v>
      </c>
      <c r="C14" s="8" t="n">
        <v>0.583333333333333</v>
      </c>
      <c r="D14" s="8" t="n">
        <v>0.75</v>
      </c>
      <c r="E14" s="7" t="s">
        <v>13</v>
      </c>
      <c r="F14" s="9" t="s">
        <v>35</v>
      </c>
      <c r="G14" s="7" t="s">
        <v>20</v>
      </c>
      <c r="H14" s="7" t="s">
        <v>12</v>
      </c>
      <c r="I14" s="9"/>
    </row>
    <row r="15" customFormat="false" ht="15" hidden="false" customHeight="false" outlineLevel="0" collapsed="false">
      <c r="A15" s="14" t="n">
        <v>46322</v>
      </c>
      <c r="B15" s="15" t="str">
        <f aca="false">TEXT(A15,"ddd")</f>
        <v>Tue</v>
      </c>
      <c r="C15" s="16" t="n">
        <v>0.791666666666667</v>
      </c>
      <c r="D15" s="16" t="n">
        <v>0.833333333333333</v>
      </c>
      <c r="E15" s="15" t="s">
        <v>24</v>
      </c>
      <c r="F15" s="17" t="s">
        <v>36</v>
      </c>
      <c r="G15" s="15" t="s">
        <v>26</v>
      </c>
      <c r="H15" s="15" t="s">
        <v>23</v>
      </c>
      <c r="I15" s="17"/>
    </row>
    <row r="16" customFormat="false" ht="23.85" hidden="false" customHeight="false" outlineLevel="0" collapsed="false">
      <c r="A16" s="18" t="n">
        <v>46324</v>
      </c>
      <c r="B16" s="19" t="str">
        <f aca="false">TEXT(A16,"ddd")</f>
        <v>Thu</v>
      </c>
      <c r="C16" s="20" t="n">
        <v>0.8125</v>
      </c>
      <c r="D16" s="20" t="n">
        <v>0.895833333333333</v>
      </c>
      <c r="E16" s="19" t="s">
        <v>27</v>
      </c>
      <c r="F16" s="21" t="s">
        <v>37</v>
      </c>
      <c r="G16" s="19" t="s">
        <v>26</v>
      </c>
      <c r="H16" s="19" t="s">
        <v>23</v>
      </c>
      <c r="I16" s="21" t="s">
        <v>29</v>
      </c>
    </row>
    <row r="17" customFormat="false" ht="15" hidden="false" customHeight="false" outlineLevel="0" collapsed="false">
      <c r="A17" s="22" t="n">
        <v>46325</v>
      </c>
      <c r="B17" s="23" t="str">
        <f aca="false">TEXT(A17,"ddd")</f>
        <v>Fri</v>
      </c>
      <c r="C17" s="24" t="n">
        <v>0.75</v>
      </c>
      <c r="D17" s="24" t="n">
        <v>0.8125</v>
      </c>
      <c r="E17" s="23" t="s">
        <v>30</v>
      </c>
      <c r="F17" s="25" t="s">
        <v>31</v>
      </c>
      <c r="G17" s="23" t="s">
        <v>20</v>
      </c>
      <c r="H17" s="23" t="s">
        <v>12</v>
      </c>
      <c r="I17" s="25"/>
    </row>
    <row r="18" customFormat="false" ht="15" hidden="false" customHeight="false" outlineLevel="0" collapsed="false">
      <c r="A18" s="2" t="n">
        <v>46326</v>
      </c>
      <c r="B18" s="3" t="str">
        <f aca="false">TEXT(A18,"ddd")</f>
        <v>Sat</v>
      </c>
      <c r="C18" s="4" t="n">
        <v>0.375</v>
      </c>
      <c r="D18" s="4" t="n">
        <v>0.541666666666667</v>
      </c>
      <c r="E18" s="3" t="s">
        <v>9</v>
      </c>
      <c r="F18" s="5" t="s">
        <v>38</v>
      </c>
      <c r="G18" s="3" t="s">
        <v>11</v>
      </c>
      <c r="H18" s="3" t="s">
        <v>12</v>
      </c>
      <c r="I18" s="5"/>
    </row>
    <row r="19" customFormat="false" ht="15" hidden="false" customHeight="false" outlineLevel="0" collapsed="false">
      <c r="A19" s="6" t="n">
        <v>46326</v>
      </c>
      <c r="B19" s="7" t="str">
        <f aca="false">TEXT(A19,"ddd")</f>
        <v>Sat</v>
      </c>
      <c r="C19" s="8" t="n">
        <v>0.583333333333333</v>
      </c>
      <c r="D19" s="8" t="n">
        <v>0.75</v>
      </c>
      <c r="E19" s="7" t="s">
        <v>13</v>
      </c>
      <c r="F19" s="9" t="s">
        <v>39</v>
      </c>
      <c r="G19" s="7" t="s">
        <v>16</v>
      </c>
      <c r="H19" s="7" t="s">
        <v>12</v>
      </c>
      <c r="I19" s="9"/>
    </row>
    <row r="20" customFormat="false" ht="15" hidden="false" customHeight="false" outlineLevel="0" collapsed="false">
      <c r="A20" s="2" t="n">
        <v>46327</v>
      </c>
      <c r="B20" s="3" t="str">
        <f aca="false">TEXT(A20,"ddd")</f>
        <v>Sun</v>
      </c>
      <c r="C20" s="4" t="n">
        <v>0.375</v>
      </c>
      <c r="D20" s="4" t="n">
        <v>0.541666666666667</v>
      </c>
      <c r="E20" s="3" t="s">
        <v>9</v>
      </c>
      <c r="F20" s="5" t="s">
        <v>40</v>
      </c>
      <c r="G20" s="3" t="s">
        <v>41</v>
      </c>
      <c r="H20" s="3" t="s">
        <v>12</v>
      </c>
      <c r="I20" s="5"/>
    </row>
    <row r="21" customFormat="false" ht="15" hidden="false" customHeight="false" outlineLevel="0" collapsed="false">
      <c r="A21" s="6" t="n">
        <v>46327</v>
      </c>
      <c r="B21" s="7" t="str">
        <f aca="false">TEXT(A21,"ddd")</f>
        <v>Sun</v>
      </c>
      <c r="C21" s="8" t="n">
        <v>0.583333333333333</v>
      </c>
      <c r="D21" s="8" t="n">
        <v>0.75</v>
      </c>
      <c r="E21" s="7" t="s">
        <v>13</v>
      </c>
      <c r="F21" s="9" t="s">
        <v>42</v>
      </c>
      <c r="G21" s="7" t="s">
        <v>16</v>
      </c>
      <c r="H21" s="7" t="s">
        <v>12</v>
      </c>
      <c r="I21" s="9"/>
    </row>
    <row r="22" customFormat="false" ht="15" hidden="false" customHeight="false" outlineLevel="0" collapsed="false">
      <c r="A22" s="14" t="n">
        <v>46329</v>
      </c>
      <c r="B22" s="15" t="str">
        <f aca="false">TEXT(A22,"ddd")</f>
        <v>Tue</v>
      </c>
      <c r="C22" s="16" t="n">
        <v>0.791666666666667</v>
      </c>
      <c r="D22" s="16" t="n">
        <v>0.833333333333333</v>
      </c>
      <c r="E22" s="15" t="s">
        <v>24</v>
      </c>
      <c r="F22" s="17" t="s">
        <v>43</v>
      </c>
      <c r="G22" s="15" t="s">
        <v>26</v>
      </c>
      <c r="H22" s="15" t="s">
        <v>23</v>
      </c>
      <c r="I22" s="17"/>
    </row>
    <row r="23" customFormat="false" ht="23.85" hidden="false" customHeight="false" outlineLevel="0" collapsed="false">
      <c r="A23" s="18" t="n">
        <v>46331</v>
      </c>
      <c r="B23" s="19" t="str">
        <f aca="false">TEXT(A23,"ddd")</f>
        <v>Thu</v>
      </c>
      <c r="C23" s="20" t="n">
        <v>0.8125</v>
      </c>
      <c r="D23" s="20" t="n">
        <v>0.895833333333333</v>
      </c>
      <c r="E23" s="19" t="s">
        <v>27</v>
      </c>
      <c r="F23" s="21" t="s">
        <v>44</v>
      </c>
      <c r="G23" s="19" t="s">
        <v>20</v>
      </c>
      <c r="H23" s="19" t="s">
        <v>23</v>
      </c>
      <c r="I23" s="21" t="s">
        <v>29</v>
      </c>
    </row>
    <row r="24" customFormat="false" ht="15" hidden="false" customHeight="false" outlineLevel="0" collapsed="false">
      <c r="A24" s="22" t="n">
        <v>46332</v>
      </c>
      <c r="B24" s="23" t="str">
        <f aca="false">TEXT(A24,"ddd")</f>
        <v>Fri</v>
      </c>
      <c r="C24" s="24" t="n">
        <v>0.75</v>
      </c>
      <c r="D24" s="24" t="n">
        <v>0.8125</v>
      </c>
      <c r="E24" s="23" t="s">
        <v>30</v>
      </c>
      <c r="F24" s="25" t="s">
        <v>31</v>
      </c>
      <c r="G24" s="23" t="s">
        <v>16</v>
      </c>
      <c r="H24" s="23" t="s">
        <v>12</v>
      </c>
      <c r="I24" s="25"/>
    </row>
    <row r="25" customFormat="false" ht="15" hidden="false" customHeight="false" outlineLevel="0" collapsed="false">
      <c r="A25" s="14" t="n">
        <v>46336</v>
      </c>
      <c r="B25" s="15" t="str">
        <f aca="false">TEXT(A25,"ddd")</f>
        <v>Tue</v>
      </c>
      <c r="C25" s="16" t="n">
        <v>0.791666666666667</v>
      </c>
      <c r="D25" s="16" t="n">
        <v>0.833333333333333</v>
      </c>
      <c r="E25" s="15" t="s">
        <v>24</v>
      </c>
      <c r="F25" s="17" t="s">
        <v>45</v>
      </c>
      <c r="G25" s="15" t="s">
        <v>26</v>
      </c>
      <c r="H25" s="15" t="s">
        <v>23</v>
      </c>
      <c r="I25" s="17"/>
    </row>
    <row r="26" customFormat="false" ht="23.85" hidden="false" customHeight="false" outlineLevel="0" collapsed="false">
      <c r="A26" s="18" t="n">
        <v>46338</v>
      </c>
      <c r="B26" s="19" t="str">
        <f aca="false">TEXT(A26,"ddd")</f>
        <v>Thu</v>
      </c>
      <c r="C26" s="20" t="n">
        <v>0.8125</v>
      </c>
      <c r="D26" s="20" t="n">
        <v>0.895833333333333</v>
      </c>
      <c r="E26" s="19" t="s">
        <v>27</v>
      </c>
      <c r="F26" s="21" t="s">
        <v>46</v>
      </c>
      <c r="G26" s="19" t="s">
        <v>20</v>
      </c>
      <c r="H26" s="19" t="s">
        <v>23</v>
      </c>
      <c r="I26" s="21" t="s">
        <v>29</v>
      </c>
    </row>
    <row r="27" customFormat="false" ht="15" hidden="false" customHeight="false" outlineLevel="0" collapsed="false">
      <c r="A27" s="22" t="n">
        <v>46339</v>
      </c>
      <c r="B27" s="23" t="str">
        <f aca="false">TEXT(A27,"ddd")</f>
        <v>Fri</v>
      </c>
      <c r="C27" s="24" t="n">
        <v>0.75</v>
      </c>
      <c r="D27" s="24" t="n">
        <v>0.8125</v>
      </c>
      <c r="E27" s="23" t="s">
        <v>30</v>
      </c>
      <c r="F27" s="25" t="s">
        <v>31</v>
      </c>
      <c r="G27" s="23" t="s">
        <v>41</v>
      </c>
      <c r="H27" s="23" t="s">
        <v>12</v>
      </c>
      <c r="I27" s="25"/>
    </row>
    <row r="28" customFormat="false" ht="15" hidden="false" customHeight="false" outlineLevel="0" collapsed="false">
      <c r="A28" s="2" t="n">
        <v>46340</v>
      </c>
      <c r="B28" s="3" t="str">
        <f aca="false">TEXT(A28,"ddd")</f>
        <v>Sat</v>
      </c>
      <c r="C28" s="4" t="n">
        <v>0.375</v>
      </c>
      <c r="D28" s="4" t="n">
        <v>0.541666666666667</v>
      </c>
      <c r="E28" s="3" t="s">
        <v>9</v>
      </c>
      <c r="F28" s="5" t="s">
        <v>47</v>
      </c>
      <c r="G28" s="3" t="s">
        <v>26</v>
      </c>
      <c r="H28" s="3" t="s">
        <v>12</v>
      </c>
      <c r="I28" s="5"/>
    </row>
    <row r="29" customFormat="false" ht="15" hidden="false" customHeight="false" outlineLevel="0" collapsed="false">
      <c r="A29" s="6" t="n">
        <v>46340</v>
      </c>
      <c r="B29" s="7" t="str">
        <f aca="false">TEXT(A29,"ddd")</f>
        <v>Sat</v>
      </c>
      <c r="C29" s="8" t="n">
        <v>0.583333333333333</v>
      </c>
      <c r="D29" s="8" t="n">
        <v>0.75</v>
      </c>
      <c r="E29" s="7" t="s">
        <v>13</v>
      </c>
      <c r="F29" s="9" t="s">
        <v>48</v>
      </c>
      <c r="G29" s="7" t="s">
        <v>26</v>
      </c>
      <c r="H29" s="7" t="s">
        <v>12</v>
      </c>
      <c r="I29" s="9"/>
    </row>
    <row r="30" customFormat="false" ht="15" hidden="false" customHeight="false" outlineLevel="0" collapsed="false">
      <c r="A30" s="2" t="n">
        <v>46341</v>
      </c>
      <c r="B30" s="3" t="str">
        <f aca="false">TEXT(A30,"ddd")</f>
        <v>Sun</v>
      </c>
      <c r="C30" s="4" t="n">
        <v>0.375</v>
      </c>
      <c r="D30" s="4" t="n">
        <v>0.541666666666667</v>
      </c>
      <c r="E30" s="3" t="s">
        <v>9</v>
      </c>
      <c r="F30" s="5" t="s">
        <v>49</v>
      </c>
      <c r="G30" s="3" t="s">
        <v>41</v>
      </c>
      <c r="H30" s="3" t="s">
        <v>12</v>
      </c>
      <c r="I30" s="5"/>
    </row>
    <row r="31" customFormat="false" ht="15" hidden="false" customHeight="false" outlineLevel="0" collapsed="false">
      <c r="A31" s="6" t="n">
        <v>46341</v>
      </c>
      <c r="B31" s="7" t="str">
        <f aca="false">TEXT(A31,"ddd")</f>
        <v>Sun</v>
      </c>
      <c r="C31" s="8" t="n">
        <v>0.583333333333333</v>
      </c>
      <c r="D31" s="8" t="n">
        <v>0.75</v>
      </c>
      <c r="E31" s="7" t="s">
        <v>13</v>
      </c>
      <c r="F31" s="9" t="s">
        <v>50</v>
      </c>
      <c r="G31" s="7" t="s">
        <v>11</v>
      </c>
      <c r="H31" s="7" t="s">
        <v>12</v>
      </c>
      <c r="I31" s="9"/>
    </row>
    <row r="32" customFormat="false" ht="15" hidden="false" customHeight="false" outlineLevel="0" collapsed="false">
      <c r="A32" s="10" t="n">
        <v>46342</v>
      </c>
      <c r="B32" s="11" t="str">
        <f aca="false">TEXT(A32,"ddd")</f>
        <v>Mon</v>
      </c>
      <c r="C32" s="12" t="n">
        <v>0.791666666666667</v>
      </c>
      <c r="D32" s="12" t="n">
        <v>0.833333333333333</v>
      </c>
      <c r="E32" s="11" t="s">
        <v>21</v>
      </c>
      <c r="F32" s="13" t="s">
        <v>51</v>
      </c>
      <c r="G32" s="11" t="s">
        <v>11</v>
      </c>
      <c r="H32" s="11" t="s">
        <v>23</v>
      </c>
      <c r="I32" s="13"/>
    </row>
    <row r="33" customFormat="false" ht="15" hidden="false" customHeight="false" outlineLevel="0" collapsed="false">
      <c r="A33" s="14" t="n">
        <v>46343</v>
      </c>
      <c r="B33" s="15" t="str">
        <f aca="false">TEXT(A33,"ddd")</f>
        <v>Tue</v>
      </c>
      <c r="C33" s="16" t="n">
        <v>0.791666666666667</v>
      </c>
      <c r="D33" s="16" t="n">
        <v>0.833333333333333</v>
      </c>
      <c r="E33" s="15" t="s">
        <v>24</v>
      </c>
      <c r="F33" s="17" t="s">
        <v>52</v>
      </c>
      <c r="G33" s="15" t="s">
        <v>26</v>
      </c>
      <c r="H33" s="15" t="s">
        <v>23</v>
      </c>
      <c r="I33" s="17"/>
    </row>
    <row r="34" customFormat="false" ht="23.85" hidden="false" customHeight="false" outlineLevel="0" collapsed="false">
      <c r="A34" s="18" t="n">
        <v>46345</v>
      </c>
      <c r="B34" s="19" t="str">
        <f aca="false">TEXT(A34,"ddd")</f>
        <v>Thu</v>
      </c>
      <c r="C34" s="20" t="n">
        <v>0.8125</v>
      </c>
      <c r="D34" s="20" t="n">
        <v>0.895833333333333</v>
      </c>
      <c r="E34" s="19" t="s">
        <v>27</v>
      </c>
      <c r="F34" s="21" t="s">
        <v>53</v>
      </c>
      <c r="G34" s="19" t="s">
        <v>20</v>
      </c>
      <c r="H34" s="19" t="s">
        <v>23</v>
      </c>
      <c r="I34" s="21" t="s">
        <v>29</v>
      </c>
    </row>
    <row r="35" customFormat="false" ht="15" hidden="false" customHeight="false" outlineLevel="0" collapsed="false">
      <c r="A35" s="22" t="n">
        <v>46346</v>
      </c>
      <c r="B35" s="23" t="str">
        <f aca="false">TEXT(A35,"ddd")</f>
        <v>Fri</v>
      </c>
      <c r="C35" s="24" t="n">
        <v>0.75</v>
      </c>
      <c r="D35" s="24" t="n">
        <v>0.8125</v>
      </c>
      <c r="E35" s="23" t="s">
        <v>30</v>
      </c>
      <c r="F35" s="25" t="s">
        <v>31</v>
      </c>
      <c r="G35" s="23" t="s">
        <v>20</v>
      </c>
      <c r="H35" s="23" t="s">
        <v>12</v>
      </c>
      <c r="I35" s="25"/>
    </row>
    <row r="36" customFormat="false" ht="15" hidden="false" customHeight="false" outlineLevel="0" collapsed="false">
      <c r="A36" s="14" t="n">
        <v>46350</v>
      </c>
      <c r="B36" s="15" t="str">
        <f aca="false">TEXT(A36,"ddd")</f>
        <v>Tue</v>
      </c>
      <c r="C36" s="16" t="n">
        <v>0.791666666666667</v>
      </c>
      <c r="D36" s="16" t="n">
        <v>0.833333333333333</v>
      </c>
      <c r="E36" s="15" t="s">
        <v>24</v>
      </c>
      <c r="F36" s="17" t="s">
        <v>54</v>
      </c>
      <c r="G36" s="15" t="s">
        <v>26</v>
      </c>
      <c r="H36" s="15" t="s">
        <v>23</v>
      </c>
      <c r="I36" s="17"/>
    </row>
    <row r="37" customFormat="false" ht="15" hidden="false" customHeight="false" outlineLevel="0" collapsed="false">
      <c r="A37" s="14" t="n">
        <v>46357</v>
      </c>
      <c r="B37" s="15" t="str">
        <f aca="false">TEXT(A37,"ddd")</f>
        <v>Tue</v>
      </c>
      <c r="C37" s="16" t="n">
        <v>0.791666666666667</v>
      </c>
      <c r="D37" s="16" t="n">
        <v>0.833333333333333</v>
      </c>
      <c r="E37" s="15" t="s">
        <v>24</v>
      </c>
      <c r="F37" s="17" t="s">
        <v>55</v>
      </c>
      <c r="G37" s="15" t="s">
        <v>26</v>
      </c>
      <c r="H37" s="15" t="s">
        <v>23</v>
      </c>
      <c r="I37" s="17"/>
    </row>
    <row r="38" customFormat="false" ht="23.85" hidden="false" customHeight="false" outlineLevel="0" collapsed="false">
      <c r="A38" s="18" t="n">
        <v>46359</v>
      </c>
      <c r="B38" s="19" t="str">
        <f aca="false">TEXT(A38,"ddd")</f>
        <v>Thu</v>
      </c>
      <c r="C38" s="20" t="n">
        <v>0.8125</v>
      </c>
      <c r="D38" s="20" t="n">
        <v>0.895833333333333</v>
      </c>
      <c r="E38" s="19" t="s">
        <v>27</v>
      </c>
      <c r="F38" s="21" t="s">
        <v>56</v>
      </c>
      <c r="G38" s="19" t="s">
        <v>26</v>
      </c>
      <c r="H38" s="19" t="s">
        <v>23</v>
      </c>
      <c r="I38" s="21" t="s">
        <v>29</v>
      </c>
    </row>
    <row r="39" customFormat="false" ht="15" hidden="false" customHeight="false" outlineLevel="0" collapsed="false">
      <c r="A39" s="22" t="n">
        <v>46360</v>
      </c>
      <c r="B39" s="23" t="str">
        <f aca="false">TEXT(A39,"ddd")</f>
        <v>Fri</v>
      </c>
      <c r="C39" s="24" t="n">
        <v>0.75</v>
      </c>
      <c r="D39" s="24" t="n">
        <v>0.8125</v>
      </c>
      <c r="E39" s="23" t="s">
        <v>30</v>
      </c>
      <c r="F39" s="25" t="s">
        <v>31</v>
      </c>
      <c r="G39" s="23" t="s">
        <v>16</v>
      </c>
      <c r="H39" s="23" t="s">
        <v>12</v>
      </c>
      <c r="I39" s="25"/>
    </row>
    <row r="40" customFormat="false" ht="15" hidden="false" customHeight="false" outlineLevel="0" collapsed="false">
      <c r="A40" s="2" t="n">
        <v>46361</v>
      </c>
      <c r="B40" s="3" t="str">
        <f aca="false">TEXT(A40,"ddd")</f>
        <v>Sat</v>
      </c>
      <c r="C40" s="4" t="n">
        <v>0.375</v>
      </c>
      <c r="D40" s="4" t="n">
        <v>0.541666666666667</v>
      </c>
      <c r="E40" s="3" t="s">
        <v>9</v>
      </c>
      <c r="F40" s="5" t="s">
        <v>57</v>
      </c>
      <c r="G40" s="3" t="s">
        <v>20</v>
      </c>
      <c r="H40" s="3" t="s">
        <v>12</v>
      </c>
      <c r="I40" s="5"/>
    </row>
    <row r="41" customFormat="false" ht="15" hidden="false" customHeight="false" outlineLevel="0" collapsed="false">
      <c r="A41" s="6" t="n">
        <v>46361</v>
      </c>
      <c r="B41" s="7" t="str">
        <f aca="false">TEXT(A41,"ddd")</f>
        <v>Sat</v>
      </c>
      <c r="C41" s="8" t="n">
        <v>0.583333333333333</v>
      </c>
      <c r="D41" s="8" t="n">
        <v>0.75</v>
      </c>
      <c r="E41" s="7" t="s">
        <v>13</v>
      </c>
      <c r="F41" s="9" t="s">
        <v>58</v>
      </c>
      <c r="G41" s="7" t="s">
        <v>11</v>
      </c>
      <c r="H41" s="7" t="s">
        <v>12</v>
      </c>
      <c r="I41" s="9"/>
    </row>
    <row r="42" customFormat="false" ht="15" hidden="false" customHeight="false" outlineLevel="0" collapsed="false">
      <c r="A42" s="2" t="n">
        <v>46362</v>
      </c>
      <c r="B42" s="3" t="str">
        <f aca="false">TEXT(A42,"ddd")</f>
        <v>Sun</v>
      </c>
      <c r="C42" s="4" t="n">
        <v>0.375</v>
      </c>
      <c r="D42" s="4" t="n">
        <v>0.541666666666667</v>
      </c>
      <c r="E42" s="3" t="s">
        <v>9</v>
      </c>
      <c r="F42" s="5" t="s">
        <v>59</v>
      </c>
      <c r="G42" s="3" t="s">
        <v>16</v>
      </c>
      <c r="H42" s="3" t="s">
        <v>12</v>
      </c>
      <c r="I42" s="5"/>
    </row>
    <row r="43" customFormat="false" ht="15" hidden="false" customHeight="false" outlineLevel="0" collapsed="false">
      <c r="A43" s="6" t="n">
        <v>46362</v>
      </c>
      <c r="B43" s="7" t="str">
        <f aca="false">TEXT(A43,"ddd")</f>
        <v>Sun</v>
      </c>
      <c r="C43" s="8" t="n">
        <v>0.583333333333333</v>
      </c>
      <c r="D43" s="8" t="n">
        <v>0.75</v>
      </c>
      <c r="E43" s="7" t="s">
        <v>13</v>
      </c>
      <c r="F43" s="9" t="s">
        <v>60</v>
      </c>
      <c r="G43" s="7" t="s">
        <v>41</v>
      </c>
      <c r="H43" s="7" t="s">
        <v>12</v>
      </c>
      <c r="I43" s="9"/>
    </row>
    <row r="44" customFormat="false" ht="15" hidden="false" customHeight="false" outlineLevel="0" collapsed="false">
      <c r="A44" s="14" t="n">
        <v>46364</v>
      </c>
      <c r="B44" s="15" t="str">
        <f aca="false">TEXT(A44,"ddd")</f>
        <v>Tue</v>
      </c>
      <c r="C44" s="16" t="n">
        <v>0.791666666666667</v>
      </c>
      <c r="D44" s="16" t="n">
        <v>0.833333333333333</v>
      </c>
      <c r="E44" s="15" t="s">
        <v>24</v>
      </c>
      <c r="F44" s="17" t="s">
        <v>61</v>
      </c>
      <c r="G44" s="15" t="s">
        <v>26</v>
      </c>
      <c r="H44" s="15" t="s">
        <v>23</v>
      </c>
      <c r="I44" s="17"/>
    </row>
    <row r="45" customFormat="false" ht="23.85" hidden="false" customHeight="false" outlineLevel="0" collapsed="false">
      <c r="A45" s="18" t="n">
        <v>46366</v>
      </c>
      <c r="B45" s="19" t="str">
        <f aca="false">TEXT(A45,"ddd")</f>
        <v>Thu</v>
      </c>
      <c r="C45" s="20" t="n">
        <v>0.8125</v>
      </c>
      <c r="D45" s="20" t="n">
        <v>0.895833333333333</v>
      </c>
      <c r="E45" s="19" t="s">
        <v>27</v>
      </c>
      <c r="F45" s="21" t="s">
        <v>62</v>
      </c>
      <c r="G45" s="19" t="s">
        <v>16</v>
      </c>
      <c r="H45" s="19" t="s">
        <v>23</v>
      </c>
      <c r="I45" s="21" t="s">
        <v>29</v>
      </c>
    </row>
    <row r="46" customFormat="false" ht="15" hidden="false" customHeight="false" outlineLevel="0" collapsed="false">
      <c r="A46" s="22" t="n">
        <v>46367</v>
      </c>
      <c r="B46" s="23" t="str">
        <f aca="false">TEXT(A46,"ddd")</f>
        <v>Fri</v>
      </c>
      <c r="C46" s="24" t="n">
        <v>0.75</v>
      </c>
      <c r="D46" s="24" t="n">
        <v>0.8125</v>
      </c>
      <c r="E46" s="23" t="s">
        <v>30</v>
      </c>
      <c r="F46" s="25" t="s">
        <v>31</v>
      </c>
      <c r="G46" s="23" t="s">
        <v>41</v>
      </c>
      <c r="H46" s="23" t="s">
        <v>12</v>
      </c>
      <c r="I46" s="25"/>
    </row>
    <row r="47" customFormat="false" ht="15" hidden="false" customHeight="false" outlineLevel="0" collapsed="false">
      <c r="A47" s="2" t="n">
        <v>46368</v>
      </c>
      <c r="B47" s="3" t="str">
        <f aca="false">TEXT(A47,"ddd")</f>
        <v>Sat</v>
      </c>
      <c r="C47" s="4" t="n">
        <v>0.375</v>
      </c>
      <c r="D47" s="4" t="n">
        <v>0.541666666666667</v>
      </c>
      <c r="E47" s="3" t="s">
        <v>9</v>
      </c>
      <c r="F47" s="5" t="s">
        <v>63</v>
      </c>
      <c r="G47" s="3" t="s">
        <v>11</v>
      </c>
      <c r="H47" s="3" t="s">
        <v>12</v>
      </c>
      <c r="I47" s="5"/>
    </row>
    <row r="48" customFormat="false" ht="15" hidden="false" customHeight="false" outlineLevel="0" collapsed="false">
      <c r="A48" s="6" t="n">
        <v>46368</v>
      </c>
      <c r="B48" s="7" t="str">
        <f aca="false">TEXT(A48,"ddd")</f>
        <v>Sat</v>
      </c>
      <c r="C48" s="8" t="n">
        <v>0.583333333333333</v>
      </c>
      <c r="D48" s="8" t="n">
        <v>0.75</v>
      </c>
      <c r="E48" s="7" t="s">
        <v>13</v>
      </c>
      <c r="F48" s="9" t="s">
        <v>64</v>
      </c>
      <c r="G48" s="7" t="s">
        <v>11</v>
      </c>
      <c r="H48" s="7" t="s">
        <v>12</v>
      </c>
      <c r="I48" s="9"/>
    </row>
    <row r="49" customFormat="false" ht="15" hidden="false" customHeight="false" outlineLevel="0" collapsed="false">
      <c r="A49" s="2" t="n">
        <v>46369</v>
      </c>
      <c r="B49" s="3" t="str">
        <f aca="false">TEXT(A49,"ddd")</f>
        <v>Sun</v>
      </c>
      <c r="C49" s="4" t="n">
        <v>0.375</v>
      </c>
      <c r="D49" s="4" t="n">
        <v>0.541666666666667</v>
      </c>
      <c r="E49" s="3" t="s">
        <v>9</v>
      </c>
      <c r="F49" s="5" t="s">
        <v>65</v>
      </c>
      <c r="G49" s="3" t="s">
        <v>20</v>
      </c>
      <c r="H49" s="3" t="s">
        <v>12</v>
      </c>
      <c r="I49" s="5"/>
    </row>
    <row r="50" customFormat="false" ht="15" hidden="false" customHeight="false" outlineLevel="0" collapsed="false">
      <c r="A50" s="6" t="n">
        <v>46369</v>
      </c>
      <c r="B50" s="7" t="str">
        <f aca="false">TEXT(A50,"ddd")</f>
        <v>Sun</v>
      </c>
      <c r="C50" s="8" t="n">
        <v>0.583333333333333</v>
      </c>
      <c r="D50" s="8" t="n">
        <v>0.75</v>
      </c>
      <c r="E50" s="7" t="s">
        <v>13</v>
      </c>
      <c r="F50" s="9" t="s">
        <v>66</v>
      </c>
      <c r="G50" s="7" t="s">
        <v>16</v>
      </c>
      <c r="H50" s="7" t="s">
        <v>12</v>
      </c>
      <c r="I50" s="9"/>
    </row>
    <row r="51" customFormat="false" ht="15" hidden="false" customHeight="false" outlineLevel="0" collapsed="false">
      <c r="A51" s="10" t="n">
        <v>46370</v>
      </c>
      <c r="B51" s="11" t="str">
        <f aca="false">TEXT(A51,"ddd")</f>
        <v>Mon</v>
      </c>
      <c r="C51" s="12" t="n">
        <v>0.791666666666667</v>
      </c>
      <c r="D51" s="12" t="n">
        <v>0.833333333333333</v>
      </c>
      <c r="E51" s="11" t="s">
        <v>21</v>
      </c>
      <c r="F51" s="13" t="s">
        <v>51</v>
      </c>
      <c r="G51" s="11" t="s">
        <v>11</v>
      </c>
      <c r="H51" s="11" t="s">
        <v>23</v>
      </c>
      <c r="I51" s="13"/>
    </row>
    <row r="52" customFormat="false" ht="15" hidden="false" customHeight="false" outlineLevel="0" collapsed="false">
      <c r="A52" s="14" t="n">
        <v>46371</v>
      </c>
      <c r="B52" s="15" t="str">
        <f aca="false">TEXT(A52,"ddd")</f>
        <v>Tue</v>
      </c>
      <c r="C52" s="16" t="n">
        <v>0.791666666666667</v>
      </c>
      <c r="D52" s="16" t="n">
        <v>0.833333333333333</v>
      </c>
      <c r="E52" s="15" t="s">
        <v>24</v>
      </c>
      <c r="F52" s="17" t="s">
        <v>55</v>
      </c>
      <c r="G52" s="15" t="s">
        <v>26</v>
      </c>
      <c r="H52" s="15" t="s">
        <v>23</v>
      </c>
      <c r="I52" s="17"/>
    </row>
    <row r="53" customFormat="false" ht="23.85" hidden="false" customHeight="false" outlineLevel="0" collapsed="false">
      <c r="A53" s="18" t="n">
        <v>46373</v>
      </c>
      <c r="B53" s="19" t="str">
        <f aca="false">TEXT(A53,"ddd")</f>
        <v>Thu</v>
      </c>
      <c r="C53" s="20" t="n">
        <v>0.8125</v>
      </c>
      <c r="D53" s="20" t="n">
        <v>0.895833333333333</v>
      </c>
      <c r="E53" s="19" t="s">
        <v>27</v>
      </c>
      <c r="F53" s="21" t="s">
        <v>67</v>
      </c>
      <c r="G53" s="19" t="s">
        <v>11</v>
      </c>
      <c r="H53" s="19" t="s">
        <v>23</v>
      </c>
      <c r="I53" s="21" t="s">
        <v>29</v>
      </c>
    </row>
    <row r="54" customFormat="false" ht="15" hidden="false" customHeight="false" outlineLevel="0" collapsed="false">
      <c r="A54" s="22" t="n">
        <v>46374</v>
      </c>
      <c r="B54" s="23" t="str">
        <f aca="false">TEXT(A54,"ddd")</f>
        <v>Fri</v>
      </c>
      <c r="C54" s="24" t="n">
        <v>0.75</v>
      </c>
      <c r="D54" s="24" t="n">
        <v>0.8125</v>
      </c>
      <c r="E54" s="23" t="s">
        <v>30</v>
      </c>
      <c r="F54" s="25" t="s">
        <v>31</v>
      </c>
      <c r="G54" s="23" t="s">
        <v>20</v>
      </c>
      <c r="H54" s="23" t="s">
        <v>12</v>
      </c>
      <c r="I54" s="25"/>
    </row>
    <row r="55" customFormat="false" ht="23.85" hidden="false" customHeight="false" outlineLevel="0" collapsed="false">
      <c r="A55" s="10" t="n">
        <v>46391</v>
      </c>
      <c r="B55" s="11" t="str">
        <f aca="false">TEXT(A55,"ddd")</f>
        <v>Mon</v>
      </c>
      <c r="C55" s="12" t="n">
        <v>0.791666666666667</v>
      </c>
      <c r="D55" s="12" t="n">
        <v>0.833333333333333</v>
      </c>
      <c r="E55" s="11" t="s">
        <v>21</v>
      </c>
      <c r="F55" s="13" t="s">
        <v>68</v>
      </c>
      <c r="G55" s="11" t="s">
        <v>11</v>
      </c>
      <c r="H55" s="11" t="s">
        <v>23</v>
      </c>
      <c r="I55" s="26" t="s">
        <v>69</v>
      </c>
    </row>
    <row r="56" customFormat="false" ht="15" hidden="false" customHeight="false" outlineLevel="0" collapsed="false">
      <c r="A56" s="14" t="n">
        <v>46392</v>
      </c>
      <c r="B56" s="15" t="str">
        <f aca="false">TEXT(A56,"ddd")</f>
        <v>Tue</v>
      </c>
      <c r="C56" s="16" t="n">
        <v>0.791666666666667</v>
      </c>
      <c r="D56" s="16" t="n">
        <v>0.833333333333333</v>
      </c>
      <c r="E56" s="15" t="s">
        <v>24</v>
      </c>
      <c r="F56" s="17" t="s">
        <v>70</v>
      </c>
      <c r="G56" s="15" t="s">
        <v>26</v>
      </c>
      <c r="H56" s="15" t="s">
        <v>23</v>
      </c>
      <c r="I56" s="17"/>
    </row>
    <row r="57" customFormat="false" ht="23.85" hidden="false" customHeight="false" outlineLevel="0" collapsed="false">
      <c r="A57" s="18" t="n">
        <v>46394</v>
      </c>
      <c r="B57" s="19" t="str">
        <f aca="false">TEXT(A57,"ddd")</f>
        <v>Thu</v>
      </c>
      <c r="C57" s="20" t="n">
        <v>0.8125</v>
      </c>
      <c r="D57" s="20" t="n">
        <v>0.895833333333333</v>
      </c>
      <c r="E57" s="19" t="s">
        <v>27</v>
      </c>
      <c r="F57" s="21" t="s">
        <v>71</v>
      </c>
      <c r="G57" s="19" t="s">
        <v>16</v>
      </c>
      <c r="H57" s="19" t="s">
        <v>23</v>
      </c>
      <c r="I57" s="21" t="s">
        <v>29</v>
      </c>
    </row>
    <row r="58" customFormat="false" ht="23.85" hidden="false" customHeight="false" outlineLevel="0" collapsed="false">
      <c r="A58" s="22" t="n">
        <v>46395</v>
      </c>
      <c r="B58" s="23" t="str">
        <f aca="false">TEXT(A58,"ddd")</f>
        <v>Fri</v>
      </c>
      <c r="C58" s="24" t="n">
        <v>0.75</v>
      </c>
      <c r="D58" s="24" t="n">
        <v>0.8125</v>
      </c>
      <c r="E58" s="23" t="s">
        <v>30</v>
      </c>
      <c r="F58" s="25" t="s">
        <v>31</v>
      </c>
      <c r="G58" s="23" t="s">
        <v>16</v>
      </c>
      <c r="H58" s="23" t="s">
        <v>12</v>
      </c>
      <c r="I58" s="27" t="s">
        <v>72</v>
      </c>
    </row>
    <row r="59" customFormat="false" ht="15" hidden="false" customHeight="false" outlineLevel="0" collapsed="false">
      <c r="A59" s="2" t="n">
        <v>46396</v>
      </c>
      <c r="B59" s="3" t="str">
        <f aca="false">TEXT(A59,"ddd")</f>
        <v>Sat</v>
      </c>
      <c r="C59" s="4" t="n">
        <v>0.375</v>
      </c>
      <c r="D59" s="4" t="n">
        <v>0.541666666666667</v>
      </c>
      <c r="E59" s="3" t="s">
        <v>9</v>
      </c>
      <c r="F59" s="5" t="s">
        <v>73</v>
      </c>
      <c r="G59" s="3" t="s">
        <v>74</v>
      </c>
      <c r="H59" s="3" t="s">
        <v>12</v>
      </c>
      <c r="I59" s="5"/>
    </row>
    <row r="60" customFormat="false" ht="15" hidden="false" customHeight="false" outlineLevel="0" collapsed="false">
      <c r="A60" s="6" t="n">
        <v>46396</v>
      </c>
      <c r="B60" s="7" t="str">
        <f aca="false">TEXT(A60,"ddd")</f>
        <v>Sat</v>
      </c>
      <c r="C60" s="8" t="n">
        <v>0.583333333333333</v>
      </c>
      <c r="D60" s="8" t="n">
        <v>0.75</v>
      </c>
      <c r="E60" s="7" t="s">
        <v>13</v>
      </c>
      <c r="F60" s="9" t="s">
        <v>75</v>
      </c>
      <c r="G60" s="7" t="s">
        <v>11</v>
      </c>
      <c r="H60" s="7" t="s">
        <v>12</v>
      </c>
      <c r="I60" s="9"/>
    </row>
    <row r="61" customFormat="false" ht="15" hidden="false" customHeight="false" outlineLevel="0" collapsed="false">
      <c r="A61" s="2" t="n">
        <v>46397</v>
      </c>
      <c r="B61" s="3" t="str">
        <f aca="false">TEXT(A61,"ddd")</f>
        <v>Sun</v>
      </c>
      <c r="C61" s="4" t="n">
        <v>0.375</v>
      </c>
      <c r="D61" s="4" t="n">
        <v>0.541666666666667</v>
      </c>
      <c r="E61" s="3" t="s">
        <v>9</v>
      </c>
      <c r="F61" s="5" t="s">
        <v>73</v>
      </c>
      <c r="G61" s="3" t="s">
        <v>76</v>
      </c>
      <c r="H61" s="3" t="s">
        <v>12</v>
      </c>
      <c r="I61" s="5"/>
    </row>
    <row r="62" customFormat="false" ht="15" hidden="false" customHeight="false" outlineLevel="0" collapsed="false">
      <c r="A62" s="6" t="n">
        <v>46397</v>
      </c>
      <c r="B62" s="7" t="str">
        <f aca="false">TEXT(A62,"ddd")</f>
        <v>Sun</v>
      </c>
      <c r="C62" s="8" t="n">
        <v>0.583333333333333</v>
      </c>
      <c r="D62" s="8" t="n">
        <v>0.75</v>
      </c>
      <c r="E62" s="7" t="s">
        <v>13</v>
      </c>
      <c r="F62" s="9" t="s">
        <v>77</v>
      </c>
      <c r="G62" s="7" t="s">
        <v>11</v>
      </c>
      <c r="H62" s="7" t="s">
        <v>12</v>
      </c>
      <c r="I62" s="9"/>
    </row>
  </sheetData>
  <autoFilter ref="A1:I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6" min="2" style="0" width="22"/>
    <col collapsed="false" customWidth="true" hidden="false" outlineLevel="0" max="8" min="7" style="0" width="30"/>
  </cols>
  <sheetData>
    <row r="1" customFormat="false" ht="15" hidden="false" customHeight="false" outlineLevel="0" collapsed="false">
      <c r="A1" s="28" t="s">
        <v>78</v>
      </c>
      <c r="B1" s="28" t="s">
        <v>79</v>
      </c>
      <c r="C1" s="28" t="s">
        <v>80</v>
      </c>
      <c r="D1" s="28" t="s">
        <v>81</v>
      </c>
      <c r="E1" s="28" t="s">
        <v>82</v>
      </c>
      <c r="F1" s="28" t="s">
        <v>83</v>
      </c>
      <c r="G1" s="28" t="s">
        <v>84</v>
      </c>
      <c r="H1" s="28" t="s">
        <v>85</v>
      </c>
    </row>
    <row r="2" customFormat="false" ht="75" hidden="false" customHeight="true" outlineLevel="0" collapsed="false">
      <c r="A2" s="29" t="n">
        <v>46307</v>
      </c>
      <c r="B2" s="30"/>
      <c r="C2" s="30"/>
      <c r="D2" s="30"/>
      <c r="E2" s="30"/>
      <c r="F2" s="30"/>
      <c r="G2" s="31" t="s">
        <v>86</v>
      </c>
      <c r="H2" s="31" t="s">
        <v>87</v>
      </c>
    </row>
    <row r="3" customFormat="false" ht="49.5" hidden="false" customHeight="true" outlineLevel="0" collapsed="false">
      <c r="A3" s="29" t="n">
        <v>46314</v>
      </c>
      <c r="B3" s="32" t="s">
        <v>88</v>
      </c>
      <c r="C3" s="33" t="s">
        <v>89</v>
      </c>
      <c r="D3" s="30"/>
      <c r="E3" s="34" t="s">
        <v>90</v>
      </c>
      <c r="F3" s="35" t="s">
        <v>91</v>
      </c>
      <c r="G3" s="31" t="s">
        <v>92</v>
      </c>
      <c r="H3" s="31" t="s">
        <v>93</v>
      </c>
    </row>
    <row r="4" customFormat="false" ht="62.25" hidden="false" customHeight="true" outlineLevel="0" collapsed="false">
      <c r="A4" s="29" t="n">
        <v>46321</v>
      </c>
      <c r="B4" s="30"/>
      <c r="C4" s="33" t="s">
        <v>94</v>
      </c>
      <c r="D4" s="30"/>
      <c r="E4" s="34" t="s">
        <v>95</v>
      </c>
      <c r="F4" s="35" t="s">
        <v>96</v>
      </c>
      <c r="G4" s="31" t="s">
        <v>97</v>
      </c>
      <c r="H4" s="31" t="s">
        <v>98</v>
      </c>
    </row>
    <row r="5" customFormat="false" ht="24.75" hidden="false" customHeight="true" outlineLevel="0" collapsed="false">
      <c r="A5" s="29" t="n">
        <v>46328</v>
      </c>
      <c r="B5" s="30"/>
      <c r="C5" s="33" t="s">
        <v>99</v>
      </c>
      <c r="D5" s="30"/>
      <c r="E5" s="34" t="s">
        <v>100</v>
      </c>
      <c r="F5" s="35" t="s">
        <v>91</v>
      </c>
      <c r="G5" s="30"/>
      <c r="H5" s="30"/>
    </row>
    <row r="6" customFormat="false" ht="49.5" hidden="false" customHeight="true" outlineLevel="0" collapsed="false">
      <c r="A6" s="29" t="n">
        <v>46335</v>
      </c>
      <c r="B6" s="30"/>
      <c r="C6" s="33" t="s">
        <v>101</v>
      </c>
      <c r="D6" s="30"/>
      <c r="E6" s="34" t="s">
        <v>102</v>
      </c>
      <c r="F6" s="35" t="s">
        <v>103</v>
      </c>
      <c r="G6" s="31" t="s">
        <v>104</v>
      </c>
      <c r="H6" s="31" t="s">
        <v>105</v>
      </c>
    </row>
    <row r="7" customFormat="false" ht="24.75" hidden="false" customHeight="true" outlineLevel="0" collapsed="false">
      <c r="A7" s="29" t="n">
        <v>46342</v>
      </c>
      <c r="B7" s="32" t="s">
        <v>106</v>
      </c>
      <c r="C7" s="33" t="s">
        <v>107</v>
      </c>
      <c r="D7" s="30"/>
      <c r="E7" s="34" t="s">
        <v>108</v>
      </c>
      <c r="F7" s="35" t="s">
        <v>96</v>
      </c>
      <c r="G7" s="30"/>
      <c r="H7" s="30"/>
    </row>
    <row r="8" customFormat="false" ht="15" hidden="false" customHeight="true" outlineLevel="0" collapsed="false">
      <c r="A8" s="29" t="n">
        <v>46349</v>
      </c>
      <c r="B8" s="30"/>
      <c r="C8" s="33" t="s">
        <v>109</v>
      </c>
      <c r="D8" s="30"/>
      <c r="E8" s="30"/>
      <c r="F8" s="30"/>
      <c r="G8" s="30"/>
      <c r="H8" s="30"/>
    </row>
    <row r="9" customFormat="false" ht="49.5" hidden="false" customHeight="true" outlineLevel="0" collapsed="false">
      <c r="A9" s="29" t="n">
        <v>46356</v>
      </c>
      <c r="B9" s="30"/>
      <c r="C9" s="33" t="s">
        <v>110</v>
      </c>
      <c r="D9" s="30"/>
      <c r="E9" s="34" t="s">
        <v>111</v>
      </c>
      <c r="F9" s="35" t="s">
        <v>91</v>
      </c>
      <c r="G9" s="31" t="s">
        <v>112</v>
      </c>
      <c r="H9" s="31" t="s">
        <v>113</v>
      </c>
    </row>
    <row r="10" customFormat="false" ht="49.5" hidden="false" customHeight="true" outlineLevel="0" collapsed="false">
      <c r="A10" s="29" t="n">
        <v>46363</v>
      </c>
      <c r="B10" s="30"/>
      <c r="C10" s="33" t="s">
        <v>114</v>
      </c>
      <c r="D10" s="30"/>
      <c r="E10" s="34" t="s">
        <v>115</v>
      </c>
      <c r="F10" s="35" t="s">
        <v>103</v>
      </c>
      <c r="G10" s="31" t="s">
        <v>116</v>
      </c>
      <c r="H10" s="31" t="s">
        <v>117</v>
      </c>
    </row>
    <row r="11" customFormat="false" ht="24.75" hidden="false" customHeight="true" outlineLevel="0" collapsed="false">
      <c r="A11" s="29" t="n">
        <v>46370</v>
      </c>
      <c r="B11" s="32" t="s">
        <v>106</v>
      </c>
      <c r="C11" s="33" t="s">
        <v>110</v>
      </c>
      <c r="D11" s="30"/>
      <c r="E11" s="34" t="s">
        <v>118</v>
      </c>
      <c r="F11" s="35" t="s">
        <v>96</v>
      </c>
      <c r="G11" s="30"/>
      <c r="H11" s="30"/>
    </row>
    <row r="12" customFormat="false" ht="15" hidden="false" customHeight="true" outlineLevel="0" collapsed="false">
      <c r="A12" s="29" t="n">
        <v>46377</v>
      </c>
      <c r="B12" s="30"/>
      <c r="C12" s="30"/>
      <c r="D12" s="30"/>
      <c r="E12" s="30"/>
      <c r="F12" s="30"/>
      <c r="G12" s="30"/>
      <c r="H12" s="30"/>
    </row>
    <row r="13" customFormat="false" ht="15" hidden="false" customHeight="true" outlineLevel="0" collapsed="false">
      <c r="A13" s="29" t="n">
        <v>46384</v>
      </c>
      <c r="B13" s="30"/>
      <c r="C13" s="30"/>
      <c r="D13" s="30"/>
      <c r="E13" s="30"/>
      <c r="F13" s="30"/>
      <c r="G13" s="30"/>
      <c r="H13" s="30"/>
    </row>
    <row r="14" customFormat="false" ht="49.5" hidden="false" customHeight="true" outlineLevel="0" collapsed="false">
      <c r="A14" s="29" t="n">
        <v>46391</v>
      </c>
      <c r="B14" s="32" t="s">
        <v>119</v>
      </c>
      <c r="C14" s="33" t="s">
        <v>120</v>
      </c>
      <c r="D14" s="30"/>
      <c r="E14" s="34" t="s">
        <v>121</v>
      </c>
      <c r="F14" s="35" t="s">
        <v>91</v>
      </c>
      <c r="G14" s="31" t="s">
        <v>122</v>
      </c>
      <c r="H14" s="31" t="s">
        <v>123</v>
      </c>
    </row>
    <row r="16" customFormat="false" ht="15" hidden="false" customHeight="false" outlineLevel="0" collapsed="false">
      <c r="A16" s="36" t="s">
        <v>124</v>
      </c>
      <c r="B16" s="37" t="s">
        <v>9</v>
      </c>
      <c r="C16" s="38" t="s">
        <v>13</v>
      </c>
      <c r="D16" s="39" t="s">
        <v>21</v>
      </c>
      <c r="E16" s="40" t="s">
        <v>24</v>
      </c>
      <c r="F16" s="41" t="s">
        <v>27</v>
      </c>
      <c r="G16" s="4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3"/>
  </cols>
  <sheetData>
    <row r="1" customFormat="false" ht="30" hidden="false" customHeight="true" outlineLevel="0" collapsed="false">
      <c r="A1" s="43" t="s">
        <v>6</v>
      </c>
      <c r="B1" s="43" t="s">
        <v>9</v>
      </c>
      <c r="C1" s="43" t="s">
        <v>13</v>
      </c>
      <c r="D1" s="43" t="s">
        <v>21</v>
      </c>
      <c r="E1" s="43" t="s">
        <v>24</v>
      </c>
      <c r="F1" s="43" t="s">
        <v>27</v>
      </c>
      <c r="G1" s="43" t="s">
        <v>30</v>
      </c>
      <c r="H1" s="43" t="s">
        <v>125</v>
      </c>
    </row>
    <row r="2" customFormat="false" ht="15" hidden="false" customHeight="false" outlineLevel="0" collapsed="false">
      <c r="A2" s="44" t="s">
        <v>11</v>
      </c>
      <c r="B2" s="45" t="n">
        <f aca="false">COUNTIFS(Schedule!$G$2:$G$62,"*Taq*",Schedule!$E$2:$E$62,"Weekend AM")</f>
        <v>6</v>
      </c>
      <c r="C2" s="45" t="n">
        <f aca="false">COUNTIFS(Schedule!$G$2:$G$62,"*Taq*",Schedule!$E$2:$E$62,"Weekend PM")</f>
        <v>6</v>
      </c>
      <c r="D2" s="45" t="n">
        <f aca="false">COUNTIFS(Schedule!$G$2:$G$62,"*Taq*",Schedule!$E$2:$E$62,"Mon Check-In")</f>
        <v>4</v>
      </c>
      <c r="E2" s="45" t="n">
        <f aca="false">COUNTIFS(Schedule!$G$2:$G$62,"*Taq*",Schedule!$E$2:$E$62,"Tue Meditation")</f>
        <v>0</v>
      </c>
      <c r="F2" s="45" t="n">
        <f aca="false">COUNTIFS(Schedule!$G$2:$G$62,"*Taq*",Schedule!$E$2:$E$62,"Thu Lecture")</f>
        <v>1</v>
      </c>
      <c r="G2" s="45" t="n">
        <f aca="false">COUNTIFS(Schedule!$G$2:$G$62,"*Taq*",Schedule!$E$2:$E$62,"Fri Asana Lab")</f>
        <v>0</v>
      </c>
      <c r="H2" s="44" t="n">
        <f aca="false">SUM(B2:G2)</f>
        <v>17</v>
      </c>
    </row>
    <row r="3" customFormat="false" ht="15" hidden="false" customHeight="false" outlineLevel="0" collapsed="false">
      <c r="A3" s="44" t="s">
        <v>16</v>
      </c>
      <c r="B3" s="45" t="n">
        <f aca="false">COUNTIFS(Schedule!$G$2:$G$62,"*Mitch*",Schedule!$E$2:$E$62,"Weekend AM")</f>
        <v>5</v>
      </c>
      <c r="C3" s="45" t="n">
        <f aca="false">COUNTIFS(Schedule!$G$2:$G$62,"*Mitch*",Schedule!$E$2:$E$62,"Weekend PM")</f>
        <v>5</v>
      </c>
      <c r="D3" s="45" t="n">
        <f aca="false">COUNTIFS(Schedule!$G$2:$G$62,"*Mitch*",Schedule!$E$2:$E$62,"Mon Check-In")</f>
        <v>0</v>
      </c>
      <c r="E3" s="45" t="n">
        <f aca="false">COUNTIFS(Schedule!$G$2:$G$62,"*Mitch*",Schedule!$E$2:$E$62,"Tue Meditation")</f>
        <v>0</v>
      </c>
      <c r="F3" s="45" t="n">
        <f aca="false">COUNTIFS(Schedule!$G$2:$G$62,"*Mitch*",Schedule!$E$2:$E$62,"Thu Lecture")</f>
        <v>2</v>
      </c>
      <c r="G3" s="45" t="n">
        <f aca="false">COUNTIFS(Schedule!$G$2:$G$62,"*Mitch*",Schedule!$E$2:$E$62,"Fri Asana Lab")</f>
        <v>4</v>
      </c>
      <c r="H3" s="44" t="n">
        <f aca="false">SUM(B3:G3)</f>
        <v>16</v>
      </c>
    </row>
    <row r="4" customFormat="false" ht="15" hidden="false" customHeight="false" outlineLevel="0" collapsed="false">
      <c r="A4" s="44" t="s">
        <v>20</v>
      </c>
      <c r="B4" s="45" t="n">
        <f aca="false">COUNTIFS(Schedule!$G$2:$G$62,"*Jeffrey*",Schedule!$E$2:$E$62,"Weekend AM")</f>
        <v>2</v>
      </c>
      <c r="C4" s="45" t="n">
        <f aca="false">COUNTIFS(Schedule!$G$2:$G$62,"*Jeffrey*",Schedule!$E$2:$E$62,"Weekend PM")</f>
        <v>2</v>
      </c>
      <c r="D4" s="45" t="n">
        <f aca="false">COUNTIFS(Schedule!$G$2:$G$62,"*Jeffrey*",Schedule!$E$2:$E$62,"Mon Check-In")</f>
        <v>0</v>
      </c>
      <c r="E4" s="45" t="n">
        <f aca="false">COUNTIFS(Schedule!$G$2:$G$62,"*Jeffrey*",Schedule!$E$2:$E$62,"Tue Meditation")</f>
        <v>0</v>
      </c>
      <c r="F4" s="45" t="n">
        <f aca="false">COUNTIFS(Schedule!$G$2:$G$62,"*Jeffrey*",Schedule!$E$2:$E$62,"Thu Lecture")</f>
        <v>4</v>
      </c>
      <c r="G4" s="45" t="n">
        <f aca="false">COUNTIFS(Schedule!$G$2:$G$62,"*Jeffrey*",Schedule!$E$2:$E$62,"Fri Asana Lab")</f>
        <v>3</v>
      </c>
      <c r="H4" s="44" t="n">
        <f aca="false">SUM(B4:G4)</f>
        <v>11</v>
      </c>
    </row>
    <row r="5" customFormat="false" ht="15" hidden="false" customHeight="false" outlineLevel="0" collapsed="false">
      <c r="A5" s="44" t="s">
        <v>41</v>
      </c>
      <c r="B5" s="45" t="n">
        <f aca="false">COUNTIFS(Schedule!$G$2:$G$62,"*Becca*",Schedule!$E$2:$E$62,"Weekend AM")</f>
        <v>2</v>
      </c>
      <c r="C5" s="45" t="n">
        <f aca="false">COUNTIFS(Schedule!$G$2:$G$62,"*Becca*",Schedule!$E$2:$E$62,"Weekend PM")</f>
        <v>1</v>
      </c>
      <c r="D5" s="45" t="n">
        <f aca="false">COUNTIFS(Schedule!$G$2:$G$62,"*Becca*",Schedule!$E$2:$E$62,"Mon Check-In")</f>
        <v>0</v>
      </c>
      <c r="E5" s="45" t="n">
        <f aca="false">COUNTIFS(Schedule!$G$2:$G$62,"*Becca*",Schedule!$E$2:$E$62,"Tue Meditation")</f>
        <v>0</v>
      </c>
      <c r="F5" s="45" t="n">
        <f aca="false">COUNTIFS(Schedule!$G$2:$G$62,"*Becca*",Schedule!$E$2:$E$62,"Thu Lecture")</f>
        <v>0</v>
      </c>
      <c r="G5" s="45" t="n">
        <f aca="false">COUNTIFS(Schedule!$G$2:$G$62,"*Becca*",Schedule!$E$2:$E$62,"Fri Asana Lab")</f>
        <v>2</v>
      </c>
      <c r="H5" s="44" t="n">
        <f aca="false">SUM(B5:G5)</f>
        <v>5</v>
      </c>
    </row>
    <row r="6" customFormat="false" ht="15" hidden="false" customHeight="false" outlineLevel="0" collapsed="false">
      <c r="A6" s="44" t="s">
        <v>26</v>
      </c>
      <c r="B6" s="45" t="n">
        <f aca="false">COUNTIFS(Schedule!$G$2:$G$62,"*Lauren*",Schedule!$E$2:$E$62,"Weekend AM")</f>
        <v>1</v>
      </c>
      <c r="C6" s="45" t="n">
        <f aca="false">COUNTIFS(Schedule!$G$2:$G$62,"*Lauren*",Schedule!$E$2:$E$62,"Weekend PM")</f>
        <v>1</v>
      </c>
      <c r="D6" s="45" t="n">
        <f aca="false">COUNTIFS(Schedule!$G$2:$G$62,"*Lauren*",Schedule!$E$2:$E$62,"Mon Check-In")</f>
        <v>0</v>
      </c>
      <c r="E6" s="45" t="n">
        <f aca="false">COUNTIFS(Schedule!$G$2:$G$62,"*Lauren*",Schedule!$E$2:$E$62,"Tue Meditation")</f>
        <v>10</v>
      </c>
      <c r="F6" s="45" t="n">
        <f aca="false">COUNTIFS(Schedule!$G$2:$G$62,"*Lauren*",Schedule!$E$2:$E$62,"Thu Lecture")</f>
        <v>2</v>
      </c>
      <c r="G6" s="45" t="n">
        <f aca="false">COUNTIFS(Schedule!$G$2:$G$62,"*Lauren*",Schedule!$E$2:$E$62,"Fri Asana Lab")</f>
        <v>0</v>
      </c>
      <c r="H6" s="44" t="n">
        <f aca="false">SUM(B6:G6)</f>
        <v>14</v>
      </c>
    </row>
    <row r="8" customFormat="false" ht="15" hidden="false" customHeight="false" outlineLevel="0" collapsed="false">
      <c r="A8" s="46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2026-10-17T02:19:03Z</dcterms:created>
  <dc:creator>openpyxl</dc:creator>
  <dc:description/>
  <dc:language>en-US</dc:language>
  <cp:lastModifiedBy/>
  <dcterms:modified xsi:type="dcterms:W3CDTF">2026-10-17T02:19:04Z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